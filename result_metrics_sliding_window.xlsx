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\Documents\etudes\python\workspace1\data_challenge\"/>
    </mc:Choice>
  </mc:AlternateContent>
  <xr:revisionPtr revIDLastSave="0" documentId="8_{29893343-8492-475F-89EF-139CBF91FDF3}" xr6:coauthVersionLast="47" xr6:coauthVersionMax="47" xr10:uidLastSave="{00000000-0000-0000-0000-000000000000}"/>
  <bookViews>
    <workbookView xWindow="-108" yWindow="-108" windowWidth="23256" windowHeight="13896" xr2:uid="{3EE99791-F65C-4296-B40C-A0DB2033A636}"/>
  </bookViews>
  <sheets>
    <sheet name="results" sheetId="3" r:id="rId1"/>
  </sheets>
  <definedNames>
    <definedName name="ExternalData_1" localSheetId="0" hidden="1">'results'!$A$1:$N$28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3" l="1"/>
  <c r="F29" i="3"/>
  <c r="G29" i="3"/>
  <c r="H29" i="3"/>
  <c r="I29" i="3"/>
  <c r="J29" i="3"/>
  <c r="K29" i="3"/>
  <c r="L29" i="3"/>
  <c r="M29" i="3"/>
  <c r="N29" i="3"/>
  <c r="D2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960D82-5AB4-4E83-8C85-DEFBCB83CFC5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  <connection id="2" xr16:uid="{57A925B2-523E-4645-BB27-224E4BEEFC18}" keepAlive="1" name="Query - results_all_potential change_full_col" description="Connection to the 'results_all_potential change_full_col' query in the workbook." type="5" refreshedVersion="0" background="1">
    <dbPr connection="Provider=Microsoft.Mashup.OleDb.1;Data Source=$Workbook$;Location=&quot;results_all_potential change_full_col&quot;;Extended Properties=&quot;&quot;" command="SELECT * FROM [results_all_potential change_full_col]"/>
  </connection>
</connections>
</file>

<file path=xl/sharedStrings.xml><?xml version="1.0" encoding="utf-8"?>
<sst xmlns="http://schemas.openxmlformats.org/spreadsheetml/2006/main" count="107" uniqueCount="61">
  <si>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</si>
  <si>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</si>
  <si>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</si>
  <si>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</si>
  <si>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</si>
  <si>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</si>
  <si>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</si>
  <si>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</si>
  <si>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</si>
  <si>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</si>
  <si>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</si>
  <si>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</si>
  <si>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</si>
  <si>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</si>
  <si>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sensor</t>
  </si>
  <si>
    <t>sequence</t>
  </si>
  <si>
    <t>def_path</t>
  </si>
  <si>
    <t>TP</t>
  </si>
  <si>
    <t>FP</t>
  </si>
  <si>
    <t>FN</t>
  </si>
  <si>
    <t>precision</t>
  </si>
  <si>
    <t>recall</t>
  </si>
  <si>
    <t>F1</t>
  </si>
  <si>
    <t>RMSE_def</t>
  </si>
  <si>
    <t>RMSE_ok</t>
  </si>
  <si>
    <t>RMSE_def_norm</t>
  </si>
  <si>
    <t>RMSE_ok_norm</t>
  </si>
  <si>
    <t>final_score</t>
  </si>
  <si>
    <t>HD</t>
  </si>
  <si>
    <t>sequence_1</t>
  </si>
  <si>
    <t>C:\Users\Charles\Documents\etudes\python\workspace1\data_challenge\train\HD\sequence_1\low dyn with columns 1</t>
  </si>
  <si>
    <t>C:\Users\Charles\Documents\etudes\python\workspace1\data_challenge\train\HD\sequence_1\low dyn with columns 2</t>
  </si>
  <si>
    <t>C:\Users\Charles\Documents\etudes\python\workspace1\data_challenge\train\HD\sequence_1\low dyn with columns 3</t>
  </si>
  <si>
    <t>sequence_2</t>
  </si>
  <si>
    <t>C:\Users\Charles\Documents\etudes\python\workspace1\data_challenge\train\HD\sequence_2\low dyn with columns 1</t>
  </si>
  <si>
    <t>C:\Users\Charles\Documents\etudes\python\workspace1\data_challenge\train\HD\sequence_2\low dyn with columns 2</t>
  </si>
  <si>
    <t>C:\Users\Charles\Documents\etudes\python\workspace1\data_challenge\train\HD\sequence_2\low dyn with columns 3</t>
  </si>
  <si>
    <t>sequence_3</t>
  </si>
  <si>
    <t>C:\Users\Charles\Documents\etudes\python\workspace1\data_challenge\train\HD\sequence_3\low dyn with columns 1</t>
  </si>
  <si>
    <t>C:\Users\Charles\Documents\etudes\python\workspace1\data_challenge\train\HD\sequence_3\low dyn with columns 2</t>
  </si>
  <si>
    <t>C:\Users\Charles\Documents\etudes\python\workspace1\data_challenge\train\HD\sequence_3\low dyn with columns 3</t>
  </si>
  <si>
    <t>SXGA</t>
  </si>
  <si>
    <t>C:\Users\Charles\Documents\etudes\python\workspace1\data_challenge\train\SXGA\sequence_1\low dyn with columns 1</t>
  </si>
  <si>
    <t>C:\Users\Charles\Documents\etudes\python\workspace1\data_challenge\train\SXGA\sequence_1\low dyn with columns 2</t>
  </si>
  <si>
    <t>C:\Users\Charles\Documents\etudes\python\workspace1\data_challenge\train\SXGA\sequence_1\low dyn with columns 3</t>
  </si>
  <si>
    <t>C:\Users\Charles\Documents\etudes\python\workspace1\data_challenge\train\SXGA\sequence_2\low dyn with columns 1</t>
  </si>
  <si>
    <t>C:\Users\Charles\Documents\etudes\python\workspace1\data_challenge\train\SXGA\sequence_2\low dyn with columns 2</t>
  </si>
  <si>
    <t>C:\Users\Charles\Documents\etudes\python\workspace1\data_challenge\train\SXGA\sequence_2\low dyn with columns 3</t>
  </si>
  <si>
    <t>C:\Users\Charles\Documents\etudes\python\workspace1\data_challenge\train\SXGA\sequence_3\low dyn with columns 1</t>
  </si>
  <si>
    <t>C:\Users\Charles\Documents\etudes\python\workspace1\data_challenge\train\SXGA\sequence_3\low dyn with columns 2</t>
  </si>
  <si>
    <t>C:\Users\Charles\Documents\etudes\python\workspace1\data_challenge\train\SXGA\sequence_3\low dyn with columns 3</t>
  </si>
  <si>
    <t>VGA</t>
  </si>
  <si>
    <t>C:\Users\Charles\Documents\etudes\python\workspace1\data_challenge\train\VGA\sequence_1\low dyn with columns 2</t>
  </si>
  <si>
    <t>C:\Users\Charles\Documents\etudes\python\workspace1\data_challenge\train\VGA\sequence_1\low dyn with columns 3</t>
  </si>
  <si>
    <t>C:\Users\Charles\Documents\etudes\python\workspace1\data_challenge\train\VGA\sequence_2\low dyn with columns 1</t>
  </si>
  <si>
    <t>C:\Users\Charles\Documents\etudes\python\workspace1\data_challenge\train\VGA\sequence_2\low dyn with columns 2</t>
  </si>
  <si>
    <t>C:\Users\Charles\Documents\etudes\python\workspace1\data_challenge\train\VGA\sequence_2\low dyn with columns 3</t>
  </si>
  <si>
    <t>C:\Users\Charles\Documents\etudes\python\workspace1\data_challenge\train\VGA\sequence_3\low dyn with columns 1</t>
  </si>
  <si>
    <t>C:\Users\Charles\Documents\etudes\python\workspace1\data_challenge\train\VGA\sequence_3\low dyn with columns 2</t>
  </si>
  <si>
    <t>C:\Users\Charles\Documents\etudes\python\workspace1\data_challenge\train\VGA\sequence_3\low dyn with columns 3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</si>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</sst>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D9AF70-2CAE-4B4E-85F8-C4BF30E8A0B8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A5957E-696C-47C9-AFAC-260058243D5E}" name="results" displayName="results" ref="A1:N29" tableType="queryTable" totalsRowCount="1">
  <autoFilter ref="A1:N28" xr:uid="{C1A5957E-696C-47C9-AFAC-260058243D5E}"/>
  <tableColumns count="14">
    <tableColumn id="1" xr3:uid="{3C8E0A12-4163-43CE-A52E-7D3423194317}" uniqueName="1" name="Column1" queryTableFieldId="1" dataDxfId="27" totalsRowDxfId="13"/>
    <tableColumn id="2" xr3:uid="{917F992D-BA14-4CBE-9584-C8FBDF711825}" uniqueName="2" name="Column2" queryTableFieldId="2" dataDxfId="26" totalsRowDxfId="12"/>
    <tableColumn id="3" xr3:uid="{E531ADCC-73B9-42F0-A786-DB4EE7B9FF28}" uniqueName="3" name="Column3" totalsRowLabel="MEAN" queryTableFieldId="3" dataDxfId="25" totalsRowDxfId="11"/>
    <tableColumn id="4" xr3:uid="{B0694F8D-86E9-4445-B164-A31752E28051}" uniqueName="4" name="Column4" totalsRowFunction="custom" queryTableFieldId="4" dataDxfId="24" totalsRowDxfId="10">
      <totalsRowFormula>ROUND(AVERAGE(D3:D28), 3)</totalsRowFormula>
    </tableColumn>
    <tableColumn id="5" xr3:uid="{F83D6CFB-D0F5-40D2-92E7-F0327440FC3C}" uniqueName="5" name="Column5" totalsRowFunction="custom" queryTableFieldId="5" dataDxfId="23" totalsRowDxfId="9">
      <totalsRowFormula>ROUND(AVERAGE(E3:E28), 3)</totalsRowFormula>
    </tableColumn>
    <tableColumn id="6" xr3:uid="{2F10321B-446F-41C3-B818-EF69056568E5}" uniqueName="6" name="Column6" totalsRowFunction="custom" queryTableFieldId="6" dataDxfId="22" totalsRowDxfId="8">
      <totalsRowFormula>ROUND(AVERAGE(F3:F28), 3)</totalsRowFormula>
    </tableColumn>
    <tableColumn id="7" xr3:uid="{697C02F6-DF6B-4895-AE5B-3AA2215DB278}" uniqueName="7" name="Column7" totalsRowFunction="custom" queryTableFieldId="7" dataDxfId="21" totalsRowDxfId="7">
      <totalsRowFormula>ROUND(AVERAGE(G3:G28), 3)</totalsRowFormula>
    </tableColumn>
    <tableColumn id="8" xr3:uid="{B99983FB-F1CD-4260-8F1C-411675132220}" uniqueName="8" name="Column8" totalsRowFunction="custom" queryTableFieldId="8" dataDxfId="20" totalsRowDxfId="6">
      <totalsRowFormula>ROUND(AVERAGE(H3:H28), 3)</totalsRowFormula>
    </tableColumn>
    <tableColumn id="9" xr3:uid="{1818C0F1-36C6-49CE-8170-E3593F8E8FB7}" uniqueName="9" name="Column9" totalsRowFunction="custom" queryTableFieldId="9" dataDxfId="19" totalsRowDxfId="5">
      <totalsRowFormula>ROUND(AVERAGE(I3:I28), 3)</totalsRowFormula>
    </tableColumn>
    <tableColumn id="10" xr3:uid="{713514A0-DCA9-4142-8EB6-C447E024CF88}" uniqueName="10" name="Column10" totalsRowFunction="custom" queryTableFieldId="10" dataDxfId="18" totalsRowDxfId="4">
      <totalsRowFormula>ROUND(AVERAGE(J3:J28), 3)</totalsRowFormula>
    </tableColumn>
    <tableColumn id="11" xr3:uid="{01235A5C-AEA6-4AC2-920B-3C7E30A06018}" uniqueName="11" name="Column11" totalsRowFunction="custom" queryTableFieldId="11" dataDxfId="17" totalsRowDxfId="3">
      <totalsRowFormula>ROUND(AVERAGE(K3:K28), 3)</totalsRowFormula>
    </tableColumn>
    <tableColumn id="12" xr3:uid="{7AE010FA-76A3-457A-B649-070757111DAF}" uniqueName="12" name="Column12" totalsRowFunction="custom" queryTableFieldId="12" dataDxfId="16" totalsRowDxfId="2">
      <totalsRowFormula>ROUND(AVERAGE(L3:L28), 3)</totalsRowFormula>
    </tableColumn>
    <tableColumn id="13" xr3:uid="{51AC8243-F4E0-429B-A4B8-310831C69584}" uniqueName="13" name="Column13" totalsRowFunction="custom" queryTableFieldId="13" dataDxfId="15" totalsRowDxfId="1">
      <totalsRowFormula>ROUND(AVERAGE(M3:M28), 3)</totalsRowFormula>
    </tableColumn>
    <tableColumn id="14" xr3:uid="{B0A3D61E-BBC9-4FB6-A522-5A15E0DC23D2}" uniqueName="14" name="Column14" totalsRowFunction="custom" queryTableFieldId="14" dataDxfId="14" totalsRowDxfId="0">
      <totalsRowFormula>ROUND(AVERAGE(N3:N28), 3)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8088-43C4-49D8-B0EB-74C63F07C512}">
  <dimension ref="A1:N29"/>
  <sheetViews>
    <sheetView tabSelected="1" topLeftCell="C1" zoomScale="68" workbookViewId="0">
      <selection activeCell="Q36" sqref="Q36"/>
    </sheetView>
  </sheetViews>
  <sheetFormatPr defaultRowHeight="14.4" x14ac:dyDescent="0.3"/>
  <cols>
    <col min="1" max="2" width="10.6640625" bestFit="1" customWidth="1"/>
    <col min="3" max="3" width="107.109375" customWidth="1"/>
    <col min="4" max="9" width="10.6640625" bestFit="1" customWidth="1"/>
    <col min="10" max="11" width="11.6640625" bestFit="1" customWidth="1"/>
    <col min="12" max="12" width="14" bestFit="1" customWidth="1"/>
    <col min="13" max="13" width="13.33203125" bestFit="1" customWidth="1"/>
    <col min="14" max="14" width="11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 x14ac:dyDescent="0.3">
      <c r="A3" s="1" t="s">
        <v>28</v>
      </c>
      <c r="B3" s="1" t="s">
        <v>29</v>
      </c>
      <c r="C3" s="1" t="s">
        <v>30</v>
      </c>
      <c r="D3" s="1">
        <v>7.1040000000000001E-3</v>
      </c>
      <c r="E3" s="1">
        <v>4.4710000000000001E-3</v>
      </c>
      <c r="F3" s="1">
        <v>8.0199999999999998E-4</v>
      </c>
      <c r="G3" s="1">
        <v>0.61372300000000002</v>
      </c>
      <c r="H3" s="1">
        <v>0.89855099999999999</v>
      </c>
      <c r="I3" s="1">
        <v>0.72931400000000002</v>
      </c>
      <c r="J3" s="1">
        <v>15.508018</v>
      </c>
      <c r="K3" s="1">
        <v>0.76947600000000005</v>
      </c>
      <c r="L3" s="1">
        <v>0.61229999999999996</v>
      </c>
      <c r="M3" s="1">
        <v>0.98076300000000005</v>
      </c>
      <c r="N3" s="1">
        <v>0.77367799999999998</v>
      </c>
    </row>
    <row r="4" spans="1:14" x14ac:dyDescent="0.3">
      <c r="A4" s="1" t="s">
        <v>28</v>
      </c>
      <c r="B4" s="1" t="s">
        <v>29</v>
      </c>
      <c r="C4" s="1" t="s">
        <v>31</v>
      </c>
      <c r="D4" s="1">
        <v>3.5339999999999998E-3</v>
      </c>
      <c r="E4" s="1">
        <v>9.2630000000000004E-3</v>
      </c>
      <c r="F4" s="1">
        <v>2.4970000000000001E-3</v>
      </c>
      <c r="G4" s="1">
        <v>0.27615000000000001</v>
      </c>
      <c r="H4" s="1">
        <v>0.585924</v>
      </c>
      <c r="I4" s="1">
        <v>0.37537999999999999</v>
      </c>
      <c r="J4" s="1">
        <v>9.471876</v>
      </c>
      <c r="K4" s="1">
        <v>1.077618</v>
      </c>
      <c r="L4" s="1">
        <v>0.76320299999999996</v>
      </c>
      <c r="M4" s="1">
        <v>0.97306000000000004</v>
      </c>
      <c r="N4" s="1">
        <v>0.700596</v>
      </c>
    </row>
    <row r="5" spans="1:14" x14ac:dyDescent="0.3">
      <c r="A5" s="1" t="s">
        <v>28</v>
      </c>
      <c r="B5" s="1" t="s">
        <v>29</v>
      </c>
      <c r="C5" s="1" t="s">
        <v>32</v>
      </c>
      <c r="D5" s="1">
        <v>1.3690000000000001E-2</v>
      </c>
      <c r="E5" s="1">
        <v>3.398E-3</v>
      </c>
      <c r="F5" s="1">
        <v>7.3829999999999998E-3</v>
      </c>
      <c r="G5" s="1">
        <v>0.80112799999999995</v>
      </c>
      <c r="H5" s="1">
        <v>0.64965399999999995</v>
      </c>
      <c r="I5" s="1">
        <v>0.71748299999999998</v>
      </c>
      <c r="J5" s="1">
        <v>13.746479000000001</v>
      </c>
      <c r="K5" s="1">
        <v>0.68700099999999997</v>
      </c>
      <c r="L5" s="1">
        <v>0.65633799999999998</v>
      </c>
      <c r="M5" s="1">
        <v>0.98282499999999995</v>
      </c>
      <c r="N5" s="1">
        <v>0.78486800000000001</v>
      </c>
    </row>
    <row r="6" spans="1:14" x14ac:dyDescent="0.3">
      <c r="A6" s="1" t="s">
        <v>28</v>
      </c>
      <c r="B6" s="1" t="s">
        <v>33</v>
      </c>
      <c r="C6" s="1" t="s">
        <v>34</v>
      </c>
      <c r="D6" s="1">
        <v>9.0989999999999994E-3</v>
      </c>
      <c r="E6" s="1">
        <v>1.323E-3</v>
      </c>
      <c r="F6" s="1">
        <v>2.4840000000000001E-3</v>
      </c>
      <c r="G6" s="1">
        <v>0.87306300000000003</v>
      </c>
      <c r="H6" s="1">
        <v>0.78552200000000005</v>
      </c>
      <c r="I6" s="1">
        <v>0.82698199999999999</v>
      </c>
      <c r="J6" s="1">
        <v>25.668053</v>
      </c>
      <c r="K6" s="1">
        <v>0.68024499999999999</v>
      </c>
      <c r="L6" s="1">
        <v>0.35829899999999998</v>
      </c>
      <c r="M6" s="1">
        <v>0.98299400000000003</v>
      </c>
      <c r="N6" s="1">
        <v>0.72380100000000003</v>
      </c>
    </row>
    <row r="7" spans="1:14" x14ac:dyDescent="0.3">
      <c r="A7" s="1" t="s">
        <v>28</v>
      </c>
      <c r="B7" s="1" t="s">
        <v>33</v>
      </c>
      <c r="C7" s="1" t="s">
        <v>35</v>
      </c>
      <c r="D7" s="1">
        <v>7.0289999999999997E-3</v>
      </c>
      <c r="E7" s="1">
        <v>6.3489999999999996E-3</v>
      </c>
      <c r="F7" s="1">
        <v>4.1900000000000001E-3</v>
      </c>
      <c r="G7" s="1">
        <v>0.52540399999999998</v>
      </c>
      <c r="H7" s="1">
        <v>0.62650899999999998</v>
      </c>
      <c r="I7" s="1">
        <v>0.571519</v>
      </c>
      <c r="J7" s="1">
        <v>17.228359000000001</v>
      </c>
      <c r="K7" s="1">
        <v>1.311102</v>
      </c>
      <c r="L7" s="1">
        <v>0.56929099999999999</v>
      </c>
      <c r="M7" s="1">
        <v>0.96722200000000003</v>
      </c>
      <c r="N7" s="1">
        <v>0.70136600000000004</v>
      </c>
    </row>
    <row r="8" spans="1:14" x14ac:dyDescent="0.3">
      <c r="A8" s="1" t="s">
        <v>28</v>
      </c>
      <c r="B8" s="1" t="s">
        <v>33</v>
      </c>
      <c r="C8" s="1" t="s">
        <v>36</v>
      </c>
      <c r="D8" s="1">
        <v>8.5889999999999994E-3</v>
      </c>
      <c r="E8" s="1">
        <v>2.1640000000000001E-3</v>
      </c>
      <c r="F8" s="1">
        <v>4.5989999999999998E-3</v>
      </c>
      <c r="G8" s="1">
        <v>0.79874100000000003</v>
      </c>
      <c r="H8" s="1">
        <v>0.65126399999999995</v>
      </c>
      <c r="I8" s="1">
        <v>0.71750199999999997</v>
      </c>
      <c r="J8" s="1">
        <v>19.529572000000002</v>
      </c>
      <c r="K8" s="1">
        <v>0.76749599999999996</v>
      </c>
      <c r="L8" s="1">
        <v>0.51176100000000002</v>
      </c>
      <c r="M8" s="1">
        <v>0.98081300000000005</v>
      </c>
      <c r="N8" s="1">
        <v>0.73650000000000004</v>
      </c>
    </row>
    <row r="9" spans="1:14" x14ac:dyDescent="0.3">
      <c r="A9" s="1" t="s">
        <v>28</v>
      </c>
      <c r="B9" s="1" t="s">
        <v>37</v>
      </c>
      <c r="C9" s="1" t="s">
        <v>38</v>
      </c>
      <c r="D9" s="1">
        <v>7.1089999999999999E-3</v>
      </c>
      <c r="E9" s="1">
        <v>3.7269999999999998E-3</v>
      </c>
      <c r="F9" s="1">
        <v>1.5989999999999999E-3</v>
      </c>
      <c r="G9" s="1">
        <v>0.65609200000000001</v>
      </c>
      <c r="H9" s="1">
        <v>0.816388</v>
      </c>
      <c r="I9" s="1">
        <v>0.72751500000000002</v>
      </c>
      <c r="J9" s="1">
        <v>26.173555</v>
      </c>
      <c r="K9" s="1">
        <v>1.0348759999999999</v>
      </c>
      <c r="L9" s="1">
        <v>0.345661</v>
      </c>
      <c r="M9" s="1">
        <v>0.97412799999999999</v>
      </c>
      <c r="N9" s="1">
        <v>0.68288599999999999</v>
      </c>
    </row>
    <row r="10" spans="1:14" x14ac:dyDescent="0.3">
      <c r="A10" s="1" t="s">
        <v>28</v>
      </c>
      <c r="B10" s="1" t="s">
        <v>37</v>
      </c>
      <c r="C10" s="1" t="s">
        <v>39</v>
      </c>
      <c r="D10" s="1">
        <v>6.6150000000000002E-3</v>
      </c>
      <c r="E10" s="1">
        <v>4.0159999999999996E-3</v>
      </c>
      <c r="F10" s="1">
        <v>3.6459999999999999E-3</v>
      </c>
      <c r="G10" s="1">
        <v>0.62224400000000002</v>
      </c>
      <c r="H10" s="1">
        <v>0.64466999999999997</v>
      </c>
      <c r="I10" s="1">
        <v>0.63325900000000002</v>
      </c>
      <c r="J10" s="1">
        <v>21.186501</v>
      </c>
      <c r="K10" s="1">
        <v>1.077431</v>
      </c>
      <c r="L10" s="1">
        <v>0.47033700000000001</v>
      </c>
      <c r="M10" s="1">
        <v>0.97306400000000004</v>
      </c>
      <c r="N10" s="1">
        <v>0.69162999999999997</v>
      </c>
    </row>
    <row r="11" spans="1:14" x14ac:dyDescent="0.3">
      <c r="A11" s="1" t="s">
        <v>28</v>
      </c>
      <c r="B11" s="1" t="s">
        <v>37</v>
      </c>
      <c r="C11" s="1" t="s">
        <v>40</v>
      </c>
      <c r="D11" s="1">
        <v>1.2189999999999999E-2</v>
      </c>
      <c r="E11" s="1">
        <v>1.1069999999999999E-3</v>
      </c>
      <c r="F11" s="1">
        <v>6.9040000000000004E-3</v>
      </c>
      <c r="G11" s="1">
        <v>0.91676500000000005</v>
      </c>
      <c r="H11" s="1">
        <v>0.63843399999999995</v>
      </c>
      <c r="I11" s="1">
        <v>0.75269299999999995</v>
      </c>
      <c r="J11" s="1">
        <v>20.845299000000001</v>
      </c>
      <c r="K11" s="1">
        <v>0.56635000000000002</v>
      </c>
      <c r="L11" s="1">
        <v>0.47886800000000002</v>
      </c>
      <c r="M11" s="1">
        <v>0.98584099999999997</v>
      </c>
      <c r="N11" s="1">
        <v>0.73926999999999998</v>
      </c>
    </row>
    <row r="12" spans="1:14" x14ac:dyDescent="0.3">
      <c r="A12" s="1" t="s">
        <v>41</v>
      </c>
      <c r="B12" s="1" t="s">
        <v>29</v>
      </c>
      <c r="C12" s="1" t="s">
        <v>42</v>
      </c>
      <c r="D12" s="1">
        <v>1.6254999999999999E-2</v>
      </c>
      <c r="E12" s="1">
        <v>6.3E-5</v>
      </c>
      <c r="F12" s="1">
        <v>3.9449999999999997E-3</v>
      </c>
      <c r="G12" s="1">
        <v>0.99617</v>
      </c>
      <c r="H12" s="1">
        <v>0.80468799999999996</v>
      </c>
      <c r="I12" s="1">
        <v>0.89024899999999996</v>
      </c>
      <c r="J12" s="1">
        <v>26.874117999999999</v>
      </c>
      <c r="K12" s="1">
        <v>0.138291</v>
      </c>
      <c r="L12" s="1">
        <v>0.32814700000000002</v>
      </c>
      <c r="M12" s="1">
        <v>0.99654299999999996</v>
      </c>
      <c r="N12" s="1">
        <v>0.73983200000000005</v>
      </c>
    </row>
    <row r="13" spans="1:14" x14ac:dyDescent="0.3">
      <c r="A13" s="1" t="s">
        <v>41</v>
      </c>
      <c r="B13" s="1" t="s">
        <v>29</v>
      </c>
      <c r="C13" s="1" t="s">
        <v>43</v>
      </c>
      <c r="D13" s="1">
        <v>3.9480000000000001E-3</v>
      </c>
      <c r="E13" s="1">
        <v>6.581E-3</v>
      </c>
      <c r="F13" s="1">
        <v>4.1520000000000003E-3</v>
      </c>
      <c r="G13" s="1">
        <v>0.37498100000000001</v>
      </c>
      <c r="H13" s="1">
        <v>0.48746099999999998</v>
      </c>
      <c r="I13" s="1">
        <v>0.42388700000000001</v>
      </c>
      <c r="J13" s="1">
        <v>15.235874000000001</v>
      </c>
      <c r="K13" s="1">
        <v>1.382269</v>
      </c>
      <c r="L13" s="1">
        <v>0.61910299999999996</v>
      </c>
      <c r="M13" s="1">
        <v>0.96544300000000005</v>
      </c>
      <c r="N13" s="1">
        <v>0.667022</v>
      </c>
    </row>
    <row r="14" spans="1:14" x14ac:dyDescent="0.3">
      <c r="A14" s="1" t="s">
        <v>41</v>
      </c>
      <c r="B14" s="1" t="s">
        <v>29</v>
      </c>
      <c r="C14" s="1" t="s">
        <v>44</v>
      </c>
      <c r="D14" s="1">
        <v>1.0994E-2</v>
      </c>
      <c r="E14" s="1">
        <v>1.9109999999999999E-3</v>
      </c>
      <c r="F14" s="1">
        <v>6.0599999999999998E-4</v>
      </c>
      <c r="G14" s="1">
        <v>0.85191899999999998</v>
      </c>
      <c r="H14" s="1">
        <v>0.94773700000000005</v>
      </c>
      <c r="I14" s="1">
        <v>0.89727699999999999</v>
      </c>
      <c r="J14" s="1">
        <v>21.924423999999998</v>
      </c>
      <c r="K14" s="1">
        <v>0.74398200000000003</v>
      </c>
      <c r="L14" s="1">
        <v>0.45188899999999999</v>
      </c>
      <c r="M14" s="1">
        <v>0.98140000000000005</v>
      </c>
      <c r="N14" s="1">
        <v>0.77805999999999997</v>
      </c>
    </row>
    <row r="15" spans="1:14" x14ac:dyDescent="0.3">
      <c r="A15" s="1" t="s">
        <v>41</v>
      </c>
      <c r="B15" s="1" t="s">
        <v>33</v>
      </c>
      <c r="C15" s="1" t="s">
        <v>45</v>
      </c>
      <c r="D15" s="1">
        <v>9.0989999999999994E-3</v>
      </c>
      <c r="E15" s="1">
        <v>5.1330000000000004E-3</v>
      </c>
      <c r="F15" s="1">
        <v>1.1050000000000001E-3</v>
      </c>
      <c r="G15" s="1">
        <v>0.63934299999999999</v>
      </c>
      <c r="H15" s="1">
        <v>0.89166699999999999</v>
      </c>
      <c r="I15" s="1">
        <v>0.74471200000000004</v>
      </c>
      <c r="J15" s="1">
        <v>31.315200000000001</v>
      </c>
      <c r="K15" s="1">
        <v>1.5892139999999999</v>
      </c>
      <c r="L15" s="1">
        <v>0.21712000000000001</v>
      </c>
      <c r="M15" s="1">
        <v>0.96026999999999996</v>
      </c>
      <c r="N15" s="1">
        <v>0.64174100000000001</v>
      </c>
    </row>
    <row r="16" spans="1:14" x14ac:dyDescent="0.3">
      <c r="A16" s="1" t="s">
        <v>41</v>
      </c>
      <c r="B16" s="1" t="s">
        <v>33</v>
      </c>
      <c r="C16" s="1" t="s">
        <v>46</v>
      </c>
      <c r="D16" s="1">
        <v>1.0558E-2</v>
      </c>
      <c r="E16" s="1">
        <v>8.9669999999999993E-3</v>
      </c>
      <c r="F16" s="1">
        <v>6.1840000000000003E-3</v>
      </c>
      <c r="G16" s="1">
        <v>0.54072799999999999</v>
      </c>
      <c r="H16" s="1">
        <v>0.63063499999999995</v>
      </c>
      <c r="I16" s="1">
        <v>0.58223100000000005</v>
      </c>
      <c r="J16" s="1">
        <v>19.555256</v>
      </c>
      <c r="K16" s="1">
        <v>2.0393330000000001</v>
      </c>
      <c r="L16" s="1">
        <v>0.51111899999999999</v>
      </c>
      <c r="M16" s="1">
        <v>0.949017</v>
      </c>
      <c r="N16" s="1">
        <v>0.67980300000000005</v>
      </c>
    </row>
    <row r="17" spans="1:14" x14ac:dyDescent="0.3">
      <c r="A17" s="1" t="s">
        <v>41</v>
      </c>
      <c r="B17" s="1" t="s">
        <v>33</v>
      </c>
      <c r="C17" s="1" t="s">
        <v>47</v>
      </c>
      <c r="D17" s="1">
        <v>6.9420000000000003E-3</v>
      </c>
      <c r="E17" s="1">
        <v>7.7739999999999997E-3</v>
      </c>
      <c r="F17" s="1">
        <v>1.072E-3</v>
      </c>
      <c r="G17" s="1">
        <v>0.47174100000000002</v>
      </c>
      <c r="H17" s="1">
        <v>0.86621400000000004</v>
      </c>
      <c r="I17" s="1">
        <v>0.61082499999999995</v>
      </c>
      <c r="J17" s="1">
        <v>29.472058000000001</v>
      </c>
      <c r="K17" s="1">
        <v>1.905125</v>
      </c>
      <c r="L17" s="1">
        <v>0.26319900000000002</v>
      </c>
      <c r="M17" s="1">
        <v>0.952372</v>
      </c>
      <c r="N17" s="1">
        <v>0.608819</v>
      </c>
    </row>
    <row r="18" spans="1:14" x14ac:dyDescent="0.3">
      <c r="A18" s="1" t="s">
        <v>41</v>
      </c>
      <c r="B18" s="1" t="s">
        <v>37</v>
      </c>
      <c r="C18" s="1" t="s">
        <v>48</v>
      </c>
      <c r="D18" s="1">
        <v>7.6610000000000003E-3</v>
      </c>
      <c r="E18" s="1">
        <v>1.5139999999999999E-3</v>
      </c>
      <c r="F18" s="1">
        <v>2.8700000000000002E-3</v>
      </c>
      <c r="G18" s="1">
        <v>0.83498000000000006</v>
      </c>
      <c r="H18" s="1">
        <v>0.72744799999999998</v>
      </c>
      <c r="I18" s="1">
        <v>0.77751300000000001</v>
      </c>
      <c r="J18" s="1">
        <v>30.498875000000002</v>
      </c>
      <c r="K18" s="1">
        <v>0.81736900000000001</v>
      </c>
      <c r="L18" s="1">
        <v>0.23752799999999999</v>
      </c>
      <c r="M18" s="1">
        <v>0.97956600000000005</v>
      </c>
      <c r="N18" s="1">
        <v>0.66599600000000003</v>
      </c>
    </row>
    <row r="19" spans="1:14" x14ac:dyDescent="0.3">
      <c r="A19" s="1" t="s">
        <v>41</v>
      </c>
      <c r="B19" s="1" t="s">
        <v>37</v>
      </c>
      <c r="C19" s="1" t="s">
        <v>49</v>
      </c>
      <c r="D19" s="1">
        <v>6.4910000000000002E-3</v>
      </c>
      <c r="E19" s="1">
        <v>3.248E-3</v>
      </c>
      <c r="F19" s="1">
        <v>4.7280000000000004E-3</v>
      </c>
      <c r="G19" s="1">
        <v>0.66645299999999996</v>
      </c>
      <c r="H19" s="1">
        <v>0.57855199999999996</v>
      </c>
      <c r="I19" s="1">
        <v>0.61939900000000003</v>
      </c>
      <c r="J19" s="1">
        <v>23.032667</v>
      </c>
      <c r="K19" s="1">
        <v>1.195983</v>
      </c>
      <c r="L19" s="1">
        <v>0.42418299999999998</v>
      </c>
      <c r="M19" s="1">
        <v>0.97009999999999996</v>
      </c>
      <c r="N19" s="1">
        <v>0.670709</v>
      </c>
    </row>
    <row r="20" spans="1:14" x14ac:dyDescent="0.3">
      <c r="A20" s="1" t="s">
        <v>41</v>
      </c>
      <c r="B20" s="1" t="s">
        <v>37</v>
      </c>
      <c r="C20" s="1" t="s">
        <v>50</v>
      </c>
      <c r="D20" s="1">
        <v>8.9859999999999992E-3</v>
      </c>
      <c r="E20" s="1">
        <v>1.114E-3</v>
      </c>
      <c r="F20" s="1">
        <v>4.633E-3</v>
      </c>
      <c r="G20" s="1">
        <v>0.88969699999999996</v>
      </c>
      <c r="H20" s="1">
        <v>0.65982099999999999</v>
      </c>
      <c r="I20" s="1">
        <v>0.75770800000000005</v>
      </c>
      <c r="J20" s="1">
        <v>27.705179999999999</v>
      </c>
      <c r="K20" s="1">
        <v>0.70353200000000005</v>
      </c>
      <c r="L20" s="1">
        <v>0.30737100000000001</v>
      </c>
      <c r="M20" s="1">
        <v>0.98241199999999995</v>
      </c>
      <c r="N20" s="1">
        <v>0.683249</v>
      </c>
    </row>
    <row r="21" spans="1:14" x14ac:dyDescent="0.3">
      <c r="A21" s="1" t="s">
        <v>51</v>
      </c>
      <c r="B21" s="1" t="s">
        <v>29</v>
      </c>
      <c r="C21" s="1" t="s">
        <v>52</v>
      </c>
      <c r="D21" s="1">
        <v>8.0040000000000007E-3</v>
      </c>
      <c r="E21" s="1">
        <v>3.4780000000000002E-3</v>
      </c>
      <c r="F21" s="1">
        <v>2.3349999999999998E-3</v>
      </c>
      <c r="G21" s="1">
        <v>0.69709399999999999</v>
      </c>
      <c r="H21" s="1">
        <v>0.77413299999999996</v>
      </c>
      <c r="I21" s="1">
        <v>0.73359700000000005</v>
      </c>
      <c r="J21" s="1">
        <v>20.536116</v>
      </c>
      <c r="K21" s="1">
        <v>1.106765</v>
      </c>
      <c r="L21" s="1">
        <v>0.486597</v>
      </c>
      <c r="M21" s="1">
        <v>0.97233099999999995</v>
      </c>
      <c r="N21" s="1">
        <v>0.73086899999999999</v>
      </c>
    </row>
    <row r="22" spans="1:14" x14ac:dyDescent="0.3">
      <c r="A22" s="1" t="s">
        <v>51</v>
      </c>
      <c r="B22" s="1" t="s">
        <v>29</v>
      </c>
      <c r="C22" s="1" t="s">
        <v>53</v>
      </c>
      <c r="D22" s="1">
        <v>7.1539999999999998E-3</v>
      </c>
      <c r="E22" s="1">
        <v>6.3100000000000005E-4</v>
      </c>
      <c r="F22" s="1">
        <v>1.0950000000000001E-3</v>
      </c>
      <c r="G22" s="1">
        <v>0.918929</v>
      </c>
      <c r="H22" s="1">
        <v>0.86720600000000003</v>
      </c>
      <c r="I22" s="1">
        <v>0.89231799999999994</v>
      </c>
      <c r="J22" s="1">
        <v>28.370781999999998</v>
      </c>
      <c r="K22" s="1">
        <v>0.47489999999999999</v>
      </c>
      <c r="L22" s="1">
        <v>0.29072999999999999</v>
      </c>
      <c r="M22" s="1">
        <v>0.98812800000000001</v>
      </c>
      <c r="N22" s="1">
        <v>0.72541100000000003</v>
      </c>
    </row>
    <row r="23" spans="1:14" x14ac:dyDescent="0.3">
      <c r="A23" s="1" t="s">
        <v>51</v>
      </c>
      <c r="B23" s="1" t="s">
        <v>33</v>
      </c>
      <c r="C23" s="1" t="s">
        <v>54</v>
      </c>
      <c r="D23" s="1">
        <v>5.476E-3</v>
      </c>
      <c r="E23" s="1">
        <v>2.1359999999999999E-3</v>
      </c>
      <c r="F23" s="1">
        <v>9.9400000000000009E-4</v>
      </c>
      <c r="G23" s="1">
        <v>0.71944200000000003</v>
      </c>
      <c r="H23" s="1">
        <v>0.84631400000000001</v>
      </c>
      <c r="I23" s="1">
        <v>0.77773800000000004</v>
      </c>
      <c r="J23" s="1">
        <v>29.383521999999999</v>
      </c>
      <c r="K23" s="1">
        <v>0.88518600000000003</v>
      </c>
      <c r="L23" s="1">
        <v>0.26541199999999998</v>
      </c>
      <c r="M23" s="1">
        <v>0.97787000000000002</v>
      </c>
      <c r="N23" s="1">
        <v>0.67471400000000004</v>
      </c>
    </row>
    <row r="24" spans="1:14" x14ac:dyDescent="0.3">
      <c r="A24" s="1" t="s">
        <v>51</v>
      </c>
      <c r="B24" s="1" t="s">
        <v>33</v>
      </c>
      <c r="C24" s="1" t="s">
        <v>55</v>
      </c>
      <c r="D24" s="1">
        <v>3.6909999999999998E-3</v>
      </c>
      <c r="E24" s="1">
        <v>6.705E-3</v>
      </c>
      <c r="F24" s="1">
        <v>1.4090000000000001E-3</v>
      </c>
      <c r="G24" s="1">
        <v>0.35505799999999998</v>
      </c>
      <c r="H24" s="1">
        <v>0.72372800000000004</v>
      </c>
      <c r="I24" s="1">
        <v>0.47639799999999999</v>
      </c>
      <c r="J24" s="1">
        <v>19.753699000000001</v>
      </c>
      <c r="K24" s="1">
        <v>1.5676779999999999</v>
      </c>
      <c r="L24" s="1">
        <v>0.506158</v>
      </c>
      <c r="M24" s="1">
        <v>0.960808</v>
      </c>
      <c r="N24" s="1">
        <v>0.64607400000000004</v>
      </c>
    </row>
    <row r="25" spans="1:14" x14ac:dyDescent="0.3">
      <c r="A25" s="1" t="s">
        <v>51</v>
      </c>
      <c r="B25" s="1" t="s">
        <v>33</v>
      </c>
      <c r="C25" s="1" t="s">
        <v>56</v>
      </c>
      <c r="D25" s="1">
        <v>6.4879999999999998E-3</v>
      </c>
      <c r="E25" s="1">
        <v>3.137E-3</v>
      </c>
      <c r="F25" s="1">
        <v>1.323E-3</v>
      </c>
      <c r="G25" s="1">
        <v>0.67408100000000004</v>
      </c>
      <c r="H25" s="1">
        <v>0.8306</v>
      </c>
      <c r="I25" s="1">
        <v>0.74419999999999997</v>
      </c>
      <c r="J25" s="1">
        <v>26.181227</v>
      </c>
      <c r="K25" s="1">
        <v>1.074727</v>
      </c>
      <c r="L25" s="1">
        <v>0.34546900000000003</v>
      </c>
      <c r="M25" s="1">
        <v>0.973132</v>
      </c>
      <c r="N25" s="1">
        <v>0.68816600000000006</v>
      </c>
    </row>
    <row r="26" spans="1:14" x14ac:dyDescent="0.3">
      <c r="A26" s="1" t="s">
        <v>51</v>
      </c>
      <c r="B26" s="1" t="s">
        <v>37</v>
      </c>
      <c r="C26" s="1" t="s">
        <v>57</v>
      </c>
      <c r="D26" s="1">
        <v>3.2339999999999999E-3</v>
      </c>
      <c r="E26" s="1">
        <v>4.3249999999999999E-3</v>
      </c>
      <c r="F26" s="1">
        <v>3.4400000000000001E-4</v>
      </c>
      <c r="G26" s="1">
        <v>0.42786299999999999</v>
      </c>
      <c r="H26" s="1">
        <v>0.90393000000000001</v>
      </c>
      <c r="I26" s="1">
        <v>0.58080799999999999</v>
      </c>
      <c r="J26" s="1">
        <v>28.016342999999999</v>
      </c>
      <c r="K26" s="1">
        <v>1.152396</v>
      </c>
      <c r="L26" s="1">
        <v>0.299591</v>
      </c>
      <c r="M26" s="1">
        <v>0.97119</v>
      </c>
      <c r="N26" s="1">
        <v>0.61683299999999996</v>
      </c>
    </row>
    <row r="27" spans="1:14" x14ac:dyDescent="0.3">
      <c r="A27" s="1" t="s">
        <v>51</v>
      </c>
      <c r="B27" s="1" t="s">
        <v>37</v>
      </c>
      <c r="C27" s="1" t="s">
        <v>58</v>
      </c>
      <c r="D27" s="1">
        <v>3.1749999999999999E-3</v>
      </c>
      <c r="E27" s="1">
        <v>1.1141E-2</v>
      </c>
      <c r="F27" s="1">
        <v>1.281E-3</v>
      </c>
      <c r="G27" s="1">
        <v>0.22178600000000001</v>
      </c>
      <c r="H27" s="1">
        <v>0.71248199999999995</v>
      </c>
      <c r="I27" s="1">
        <v>0.33827200000000002</v>
      </c>
      <c r="J27" s="1">
        <v>18.478908000000001</v>
      </c>
      <c r="K27" s="1">
        <v>1.8522620000000001</v>
      </c>
      <c r="L27" s="1">
        <v>0.53802700000000003</v>
      </c>
      <c r="M27" s="1">
        <v>0.95369300000000001</v>
      </c>
      <c r="N27" s="1">
        <v>0.60728000000000004</v>
      </c>
    </row>
    <row r="28" spans="1:14" x14ac:dyDescent="0.3">
      <c r="A28" s="1" t="s">
        <v>51</v>
      </c>
      <c r="B28" s="1" t="s">
        <v>37</v>
      </c>
      <c r="C28" s="1" t="s">
        <v>59</v>
      </c>
      <c r="D28" s="1">
        <v>7.7559999999999999E-3</v>
      </c>
      <c r="E28" s="1">
        <v>2.4719999999999998E-3</v>
      </c>
      <c r="F28" s="1">
        <v>8.8099999999999995E-4</v>
      </c>
      <c r="G28" s="1">
        <v>0.75832599999999994</v>
      </c>
      <c r="H28" s="1">
        <v>0.89797400000000005</v>
      </c>
      <c r="I28" s="1">
        <v>0.82226299999999997</v>
      </c>
      <c r="J28" s="1">
        <v>25.283121000000001</v>
      </c>
      <c r="K28" s="1">
        <v>0.87318200000000001</v>
      </c>
      <c r="L28" s="1">
        <v>0.36792200000000003</v>
      </c>
      <c r="M28" s="1">
        <v>0.97816999999999998</v>
      </c>
      <c r="N28" s="1">
        <v>0.72377999999999998</v>
      </c>
    </row>
    <row r="29" spans="1:14" x14ac:dyDescent="0.3">
      <c r="A29" s="1"/>
      <c r="B29" s="1"/>
      <c r="C29" s="2" t="s">
        <v>60</v>
      </c>
      <c r="D29" s="1">
        <f>ROUND(AVERAGE(D3:D28), 3)</f>
        <v>8.0000000000000002E-3</v>
      </c>
      <c r="E29" s="1">
        <f t="shared" ref="E29:N29" si="0">ROUND(AVERAGE(E3:E28), 3)</f>
        <v>4.0000000000000001E-3</v>
      </c>
      <c r="F29" s="1">
        <f t="shared" si="0"/>
        <v>3.0000000000000001E-3</v>
      </c>
      <c r="G29" s="1">
        <f t="shared" si="0"/>
        <v>0.65900000000000003</v>
      </c>
      <c r="H29" s="1">
        <f t="shared" si="0"/>
        <v>0.748</v>
      </c>
      <c r="I29" s="1">
        <f t="shared" si="0"/>
        <v>0.68200000000000005</v>
      </c>
      <c r="J29" s="1">
        <f t="shared" si="0"/>
        <v>22.73</v>
      </c>
      <c r="K29" s="1">
        <f t="shared" si="0"/>
        <v>1.0569999999999999</v>
      </c>
      <c r="L29" s="1">
        <f t="shared" si="0"/>
        <v>0.432</v>
      </c>
      <c r="M29" s="1">
        <f t="shared" si="0"/>
        <v>0.97399999999999998</v>
      </c>
      <c r="N29" s="1">
        <f t="shared" si="0"/>
        <v>0.69499999999999995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0A0CE3-C20E-49E3-84D0-337023AC92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</cp:lastModifiedBy>
  <dcterms:created xsi:type="dcterms:W3CDTF">2026-06-05T19:16:25Z</dcterms:created>
  <dcterms:modified xsi:type="dcterms:W3CDTF">2026-06-05T22:23:49Z</dcterms:modified>
</cp:coreProperties>
</file>